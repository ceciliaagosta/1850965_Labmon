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dr\Desktop\UNI\LAB\"/>
    </mc:Choice>
  </mc:AlternateContent>
  <xr:revisionPtr revIDLastSave="0" documentId="13_ncr:1_{9713C341-897D-4C7B-A1FC-134C8193FBAF}" xr6:coauthVersionLast="47" xr6:coauthVersionMax="47" xr10:uidLastSave="{00000000-0000-0000-0000-000000000000}"/>
  <bookViews>
    <workbookView xWindow="-108" yWindow="-108" windowWidth="23256" windowHeight="12456" xr2:uid="{4BC1C92C-48AC-4DA3-A80C-C64CED19C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61" i="1" l="1"/>
  <c r="BE61" i="1"/>
  <c r="AX61" i="1"/>
  <c r="AQ61" i="1"/>
  <c r="AJ61" i="1"/>
  <c r="AC61" i="1"/>
  <c r="V61" i="1"/>
  <c r="O61" i="1"/>
  <c r="E10" i="1"/>
  <c r="E16" i="1"/>
  <c r="E21" i="1"/>
  <c r="E26" i="1"/>
  <c r="E33" i="1"/>
  <c r="E38" i="1"/>
  <c r="E44" i="1"/>
  <c r="D44" i="1"/>
  <c r="C44" i="1"/>
  <c r="D38" i="1"/>
  <c r="C38" i="1"/>
  <c r="D33" i="1"/>
  <c r="C33" i="1"/>
  <c r="D26" i="1"/>
  <c r="C26" i="1"/>
  <c r="D21" i="1"/>
  <c r="C21" i="1"/>
  <c r="D16" i="1"/>
  <c r="C16" i="1"/>
  <c r="D10" i="1"/>
  <c r="C10" i="1"/>
  <c r="D5" i="1"/>
  <c r="C5" i="1"/>
  <c r="D50" i="1" l="1"/>
  <c r="C50" i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I57" i="1" l="1"/>
  <c r="G50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E5" i="1"/>
  <c r="E50" i="1" s="1"/>
</calcChain>
</file>

<file path=xl/sharedStrings.xml><?xml version="1.0" encoding="utf-8"?>
<sst xmlns="http://schemas.openxmlformats.org/spreadsheetml/2006/main" count="69" uniqueCount="58">
  <si>
    <t>TASK TITLE</t>
  </si>
  <si>
    <t>BURNDOWN CHART</t>
  </si>
  <si>
    <t xml:space="preserve">User stories definition </t>
  </si>
  <si>
    <t>Mock up</t>
  </si>
  <si>
    <t>Architecture definition</t>
  </si>
  <si>
    <t xml:space="preserve">Requirements definition </t>
  </si>
  <si>
    <t>Backend implementation</t>
  </si>
  <si>
    <t>Login backend implementation</t>
  </si>
  <si>
    <t>Authentication Service Development</t>
  </si>
  <si>
    <t>Login and Registration pages</t>
  </si>
  <si>
    <t>Bug Identification and Resolution</t>
  </si>
  <si>
    <t>Monster Service Development</t>
  </si>
  <si>
    <t>Admin Panel page – Monster Management Section</t>
  </si>
  <si>
    <t>Admin Panel page – User Management Section</t>
  </si>
  <si>
    <t>DB configuration for Users</t>
  </si>
  <si>
    <t>DB configuration for Monsters</t>
  </si>
  <si>
    <t>DB configuration for Items</t>
  </si>
  <si>
    <t>Item Service Development</t>
  </si>
  <si>
    <t>DB configuration for Encounters</t>
  </si>
  <si>
    <t xml:space="preserve">Home page </t>
  </si>
  <si>
    <t>Encounter page</t>
  </si>
  <si>
    <t>Partial game microservice implementation</t>
  </si>
  <si>
    <t>Game Service Inizialization</t>
  </si>
  <si>
    <t>DB configuration for Collection</t>
  </si>
  <si>
    <t>Collection page</t>
  </si>
  <si>
    <t>Game Service Development (Collection)</t>
  </si>
  <si>
    <t>Game Service Development (Invetory)</t>
  </si>
  <si>
    <t>DB configuration for Inventory</t>
  </si>
  <si>
    <t>Shop page</t>
  </si>
  <si>
    <t>Inventory page</t>
  </si>
  <si>
    <t>AMOUNT OF WORK IN HOURS</t>
  </si>
  <si>
    <t>SPRINT</t>
  </si>
  <si>
    <t>COMPLETED</t>
  </si>
  <si>
    <t>REMAINING</t>
  </si>
  <si>
    <t>ESTIMATED</t>
  </si>
  <si>
    <t>DB configuration for Statistics</t>
  </si>
  <si>
    <t>Implementation of Inter-Service Communication</t>
  </si>
  <si>
    <t>Statistics page</t>
  </si>
  <si>
    <t>Game Service Development (Statistics)</t>
  </si>
  <si>
    <t>Extending game miscroservice (inventory)</t>
  </si>
  <si>
    <t>Extending game miscroservice (monster collection)</t>
  </si>
  <si>
    <t>Requirements Definition and Analysis</t>
  </si>
  <si>
    <t>Extending game miscroservice (Statistics)</t>
  </si>
  <si>
    <t>DAY</t>
  </si>
  <si>
    <t>TOTAL HOURS</t>
  </si>
  <si>
    <t>DAYS</t>
  </si>
  <si>
    <t>EST/DAYS</t>
  </si>
  <si>
    <t>PLAN</t>
  </si>
  <si>
    <t>HRS COMPLETED</t>
  </si>
  <si>
    <t>HRS REMAINING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</si>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</sst>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rgb="FF558BB7"/>
      <name val="Arial"/>
    </font>
    <font>
      <b/>
      <sz val="16"/>
      <color rgb="FF7F7F7F"/>
      <name val="Arial"/>
    </font>
    <font>
      <b/>
      <sz val="9"/>
      <color rgb="FF000000"/>
      <name val="Arial"/>
    </font>
    <font>
      <sz val="12"/>
      <name val="Aptos Narrow"/>
    </font>
    <font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578278"/>
        <bgColor rgb="FF57827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/>
      <diagonal/>
    </border>
    <border>
      <left style="medium">
        <color rgb="FFBFBFBF"/>
      </left>
      <right style="thin">
        <color rgb="FFBFBFBF"/>
      </right>
      <top/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medium">
        <color rgb="FFA5A5A5"/>
      </left>
      <right/>
      <top style="medium">
        <color rgb="FFA5A5A5"/>
      </top>
      <bottom style="thin">
        <color rgb="FFA5A5A5"/>
      </bottom>
      <diagonal/>
    </border>
    <border>
      <left/>
      <right/>
      <top style="medium">
        <color rgb="FFA5A5A5"/>
      </top>
      <bottom style="thin">
        <color rgb="FFA5A5A5"/>
      </bottom>
      <diagonal/>
    </border>
    <border>
      <left/>
      <right style="medium">
        <color rgb="FFA5A5A5"/>
      </right>
      <top style="medium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/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4" xfId="0" applyFont="1" applyFill="1" applyBorder="1"/>
    <xf numFmtId="0" fontId="7" fillId="2" borderId="14" xfId="0" applyFont="1" applyFill="1" applyBorder="1"/>
    <xf numFmtId="0" fontId="8" fillId="0" borderId="0" xfId="0" applyFont="1"/>
    <xf numFmtId="0" fontId="5" fillId="0" borderId="15" xfId="0" applyFont="1" applyBorder="1" applyAlignment="1">
      <alignment horizontal="right" vertical="center"/>
    </xf>
    <xf numFmtId="0" fontId="3" fillId="2" borderId="11" xfId="0" applyFont="1" applyFill="1" applyBorder="1" applyAlignment="1">
      <alignment horizontal="right"/>
    </xf>
    <xf numFmtId="0" fontId="9" fillId="3" borderId="1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Sheet1!$H$58</c:f>
              <c:strCache>
                <c:ptCount val="1"/>
                <c:pt idx="0">
                  <c:v>HRS 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Sheet1!$I$56:$BM$56</c:f>
              <c:numCache>
                <c:formatCode>General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</c:numCache>
            </c:numRef>
          </c:cat>
          <c:val>
            <c:numRef>
              <c:f>Sheet1!$I$58:$BM$58</c:f>
              <c:numCache>
                <c:formatCode>General</c:formatCode>
                <c:ptCount val="5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13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0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6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0</c:v>
                </c:pt>
                <c:pt idx="42">
                  <c:v>6</c:v>
                </c:pt>
                <c:pt idx="43">
                  <c:v>6</c:v>
                </c:pt>
                <c:pt idx="44">
                  <c:v>5</c:v>
                </c:pt>
                <c:pt idx="45">
                  <c:v>7</c:v>
                </c:pt>
                <c:pt idx="46">
                  <c:v>7</c:v>
                </c:pt>
                <c:pt idx="47">
                  <c:v>4</c:v>
                </c:pt>
                <c:pt idx="48">
                  <c:v>4</c:v>
                </c:pt>
                <c:pt idx="49">
                  <c:v>7</c:v>
                </c:pt>
                <c:pt idx="50">
                  <c:v>6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7-4F7B-908B-54BDD269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429040"/>
        <c:axId val="403431920"/>
      </c:barChart>
      <c:lineChart>
        <c:grouping val="standard"/>
        <c:varyColors val="0"/>
        <c:ser>
          <c:idx val="0"/>
          <c:order val="0"/>
          <c:tx>
            <c:strRef>
              <c:f>Sheet1!$H$57</c:f>
              <c:strCache>
                <c:ptCount val="1"/>
                <c:pt idx="0">
                  <c:v>PLAN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Sheet1!$I$56:$BM$56</c:f>
              <c:numCache>
                <c:formatCode>General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</c:numCache>
            </c:numRef>
          </c:cat>
          <c:val>
            <c:numRef>
              <c:f>Sheet1!$I$57:$BM$57</c:f>
              <c:numCache>
                <c:formatCode>General</c:formatCode>
                <c:ptCount val="57"/>
                <c:pt idx="0">
                  <c:v>281</c:v>
                </c:pt>
                <c:pt idx="1">
                  <c:v>275.98214285714283</c:v>
                </c:pt>
                <c:pt idx="2">
                  <c:v>270.96428571428567</c:v>
                </c:pt>
                <c:pt idx="3">
                  <c:v>265.9464285714285</c:v>
                </c:pt>
                <c:pt idx="4">
                  <c:v>260.92857142857133</c:v>
                </c:pt>
                <c:pt idx="5">
                  <c:v>255.91071428571419</c:v>
                </c:pt>
                <c:pt idx="6">
                  <c:v>250.89285714285705</c:v>
                </c:pt>
                <c:pt idx="7">
                  <c:v>245.87499999999991</c:v>
                </c:pt>
                <c:pt idx="8">
                  <c:v>240.85714285714278</c:v>
                </c:pt>
                <c:pt idx="9">
                  <c:v>235.83928571428564</c:v>
                </c:pt>
                <c:pt idx="10">
                  <c:v>230.8214285714285</c:v>
                </c:pt>
                <c:pt idx="11">
                  <c:v>225.80357142857136</c:v>
                </c:pt>
                <c:pt idx="12">
                  <c:v>220.78571428571422</c:v>
                </c:pt>
                <c:pt idx="13">
                  <c:v>215.76785714285708</c:v>
                </c:pt>
                <c:pt idx="14">
                  <c:v>210.74999999999994</c:v>
                </c:pt>
                <c:pt idx="15">
                  <c:v>205.7321428571428</c:v>
                </c:pt>
                <c:pt idx="16">
                  <c:v>200.71428571428567</c:v>
                </c:pt>
                <c:pt idx="17">
                  <c:v>195.69642857142853</c:v>
                </c:pt>
                <c:pt idx="18">
                  <c:v>190.67857142857139</c:v>
                </c:pt>
                <c:pt idx="19">
                  <c:v>185.66071428571425</c:v>
                </c:pt>
                <c:pt idx="20">
                  <c:v>180.64285714285711</c:v>
                </c:pt>
                <c:pt idx="21">
                  <c:v>175.62499999999997</c:v>
                </c:pt>
                <c:pt idx="22">
                  <c:v>170.60714285714283</c:v>
                </c:pt>
                <c:pt idx="23">
                  <c:v>165.58928571428569</c:v>
                </c:pt>
                <c:pt idx="24">
                  <c:v>160.57142857142856</c:v>
                </c:pt>
                <c:pt idx="25">
                  <c:v>155.55357142857142</c:v>
                </c:pt>
                <c:pt idx="26">
                  <c:v>150.53571428571428</c:v>
                </c:pt>
                <c:pt idx="27">
                  <c:v>145.51785714285714</c:v>
                </c:pt>
                <c:pt idx="28">
                  <c:v>140.5</c:v>
                </c:pt>
                <c:pt idx="29">
                  <c:v>135.48214285714286</c:v>
                </c:pt>
                <c:pt idx="30">
                  <c:v>130.46428571428572</c:v>
                </c:pt>
                <c:pt idx="31">
                  <c:v>125.44642857142858</c:v>
                </c:pt>
                <c:pt idx="32">
                  <c:v>120.42857142857144</c:v>
                </c:pt>
                <c:pt idx="33">
                  <c:v>115.41071428571431</c:v>
                </c:pt>
                <c:pt idx="34">
                  <c:v>110.39285714285717</c:v>
                </c:pt>
                <c:pt idx="35">
                  <c:v>105.37500000000003</c:v>
                </c:pt>
                <c:pt idx="36">
                  <c:v>100.35714285714289</c:v>
                </c:pt>
                <c:pt idx="37">
                  <c:v>95.339285714285751</c:v>
                </c:pt>
                <c:pt idx="38">
                  <c:v>90.321428571428612</c:v>
                </c:pt>
                <c:pt idx="39">
                  <c:v>85.303571428571473</c:v>
                </c:pt>
                <c:pt idx="40">
                  <c:v>80.285714285714334</c:v>
                </c:pt>
                <c:pt idx="41">
                  <c:v>75.267857142857196</c:v>
                </c:pt>
                <c:pt idx="42">
                  <c:v>70.250000000000057</c:v>
                </c:pt>
                <c:pt idx="43">
                  <c:v>65.232142857142918</c:v>
                </c:pt>
                <c:pt idx="44">
                  <c:v>60.214285714285772</c:v>
                </c:pt>
                <c:pt idx="45">
                  <c:v>55.196428571428626</c:v>
                </c:pt>
                <c:pt idx="46">
                  <c:v>50.17857142857148</c:v>
                </c:pt>
                <c:pt idx="47">
                  <c:v>45.160714285714334</c:v>
                </c:pt>
                <c:pt idx="48">
                  <c:v>40.142857142857189</c:v>
                </c:pt>
                <c:pt idx="49">
                  <c:v>35.125000000000043</c:v>
                </c:pt>
                <c:pt idx="50">
                  <c:v>30.1071428571429</c:v>
                </c:pt>
                <c:pt idx="51">
                  <c:v>25.089285714285758</c:v>
                </c:pt>
                <c:pt idx="52">
                  <c:v>20.071428571428616</c:v>
                </c:pt>
                <c:pt idx="53">
                  <c:v>15.053571428571473</c:v>
                </c:pt>
                <c:pt idx="54">
                  <c:v>10.035714285714331</c:v>
                </c:pt>
                <c:pt idx="55">
                  <c:v>5.0178571428571876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7-4F7B-908B-54BDD2697A0F}"/>
            </c:ext>
          </c:extLst>
        </c:ser>
        <c:ser>
          <c:idx val="2"/>
          <c:order val="2"/>
          <c:tx>
            <c:strRef>
              <c:f>Sheet1!$H$59</c:f>
              <c:strCache>
                <c:ptCount val="1"/>
                <c:pt idx="0">
                  <c:v>HRS REMAINING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Sheet1!$I$56:$BM$56</c:f>
              <c:numCache>
                <c:formatCode>General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</c:numCache>
            </c:numRef>
          </c:cat>
          <c:val>
            <c:numRef>
              <c:f>Sheet1!$I$59:$BM$59</c:f>
              <c:numCache>
                <c:formatCode>General</c:formatCode>
                <c:ptCount val="57"/>
                <c:pt idx="0">
                  <c:v>276</c:v>
                </c:pt>
                <c:pt idx="1">
                  <c:v>271</c:v>
                </c:pt>
                <c:pt idx="2">
                  <c:v>267</c:v>
                </c:pt>
                <c:pt idx="3">
                  <c:v>263</c:v>
                </c:pt>
                <c:pt idx="4">
                  <c:v>258</c:v>
                </c:pt>
                <c:pt idx="5">
                  <c:v>253</c:v>
                </c:pt>
                <c:pt idx="6">
                  <c:v>247</c:v>
                </c:pt>
                <c:pt idx="7">
                  <c:v>239</c:v>
                </c:pt>
                <c:pt idx="8">
                  <c:v>231</c:v>
                </c:pt>
                <c:pt idx="9">
                  <c:v>218</c:v>
                </c:pt>
                <c:pt idx="10">
                  <c:v>214</c:v>
                </c:pt>
                <c:pt idx="11">
                  <c:v>211</c:v>
                </c:pt>
                <c:pt idx="12">
                  <c:v>208</c:v>
                </c:pt>
                <c:pt idx="13">
                  <c:v>208</c:v>
                </c:pt>
                <c:pt idx="14">
                  <c:v>200</c:v>
                </c:pt>
                <c:pt idx="15">
                  <c:v>192</c:v>
                </c:pt>
                <c:pt idx="16">
                  <c:v>188</c:v>
                </c:pt>
                <c:pt idx="17">
                  <c:v>184</c:v>
                </c:pt>
                <c:pt idx="18">
                  <c:v>180</c:v>
                </c:pt>
                <c:pt idx="19">
                  <c:v>177</c:v>
                </c:pt>
                <c:pt idx="20">
                  <c:v>177</c:v>
                </c:pt>
                <c:pt idx="21">
                  <c:v>169</c:v>
                </c:pt>
                <c:pt idx="22">
                  <c:v>161</c:v>
                </c:pt>
                <c:pt idx="23">
                  <c:v>157</c:v>
                </c:pt>
                <c:pt idx="24">
                  <c:v>153</c:v>
                </c:pt>
                <c:pt idx="25">
                  <c:v>149</c:v>
                </c:pt>
                <c:pt idx="26">
                  <c:v>146</c:v>
                </c:pt>
                <c:pt idx="27">
                  <c:v>146</c:v>
                </c:pt>
                <c:pt idx="28">
                  <c:v>138</c:v>
                </c:pt>
                <c:pt idx="29">
                  <c:v>130</c:v>
                </c:pt>
                <c:pt idx="30">
                  <c:v>122</c:v>
                </c:pt>
                <c:pt idx="31">
                  <c:v>116</c:v>
                </c:pt>
                <c:pt idx="32">
                  <c:v>111</c:v>
                </c:pt>
                <c:pt idx="33">
                  <c:v>106</c:v>
                </c:pt>
                <c:pt idx="34">
                  <c:v>101</c:v>
                </c:pt>
                <c:pt idx="35">
                  <c:v>94</c:v>
                </c:pt>
                <c:pt idx="36">
                  <c:v>88</c:v>
                </c:pt>
                <c:pt idx="37">
                  <c:v>83</c:v>
                </c:pt>
                <c:pt idx="38">
                  <c:v>78</c:v>
                </c:pt>
                <c:pt idx="39">
                  <c:v>74</c:v>
                </c:pt>
                <c:pt idx="40">
                  <c:v>70</c:v>
                </c:pt>
                <c:pt idx="41">
                  <c:v>70</c:v>
                </c:pt>
                <c:pt idx="42">
                  <c:v>64</c:v>
                </c:pt>
                <c:pt idx="43">
                  <c:v>58</c:v>
                </c:pt>
                <c:pt idx="44">
                  <c:v>53</c:v>
                </c:pt>
                <c:pt idx="45">
                  <c:v>46</c:v>
                </c:pt>
                <c:pt idx="46">
                  <c:v>39</c:v>
                </c:pt>
                <c:pt idx="47">
                  <c:v>35</c:v>
                </c:pt>
                <c:pt idx="48">
                  <c:v>31</c:v>
                </c:pt>
                <c:pt idx="49">
                  <c:v>24</c:v>
                </c:pt>
                <c:pt idx="50">
                  <c:v>18</c:v>
                </c:pt>
                <c:pt idx="51">
                  <c:v>13</c:v>
                </c:pt>
                <c:pt idx="52">
                  <c:v>8</c:v>
                </c:pt>
                <c:pt idx="53">
                  <c:v>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E7-4F7B-908B-54BDD2697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429040"/>
        <c:axId val="403431920"/>
      </c:lineChart>
      <c:catAx>
        <c:axId val="40342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3431920"/>
        <c:crosses val="autoZero"/>
        <c:auto val="1"/>
        <c:lblAlgn val="ctr"/>
        <c:lblOffset val="100"/>
        <c:noMultiLvlLbl val="0"/>
      </c:catAx>
      <c:valAx>
        <c:axId val="4034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342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63</xdr:row>
      <xdr:rowOff>5914</xdr:rowOff>
    </xdr:from>
    <xdr:to>
      <xdr:col>20</xdr:col>
      <xdr:colOff>593912</xdr:colOff>
      <xdr:row>89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63DC3A-8109-B250-741A-4019C2288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567F-BBD7-4E6D-AF3E-1994D66E478D}">
  <dimension ref="A1:BM61"/>
  <sheetViews>
    <sheetView tabSelected="1" topLeftCell="AL33" zoomScale="81" zoomScaleNormal="81" workbookViewId="0">
      <selection activeCell="BK66" sqref="BK66"/>
    </sheetView>
  </sheetViews>
  <sheetFormatPr defaultRowHeight="14.4" x14ac:dyDescent="0.3"/>
  <cols>
    <col min="2" max="2" width="41.5546875" customWidth="1"/>
    <col min="3" max="3" width="13.33203125" customWidth="1"/>
    <col min="4" max="4" width="13.109375" customWidth="1"/>
    <col min="5" max="5" width="12.21875" customWidth="1"/>
    <col min="7" max="7" width="12.109375" customWidth="1"/>
    <col min="8" max="8" width="18.33203125" customWidth="1"/>
    <col min="9" max="10" width="8.88671875" customWidth="1"/>
  </cols>
  <sheetData>
    <row r="1" spans="1:6" ht="21" x14ac:dyDescent="0.3">
      <c r="A1" s="2" t="s">
        <v>1</v>
      </c>
      <c r="B1" s="1"/>
      <c r="C1" s="1"/>
    </row>
    <row r="2" spans="1:6" ht="15" thickBot="1" x14ac:dyDescent="0.35"/>
    <row r="3" spans="1:6" ht="15.6" x14ac:dyDescent="0.3">
      <c r="B3" s="20" t="s">
        <v>0</v>
      </c>
      <c r="C3" s="22" t="s">
        <v>30</v>
      </c>
      <c r="D3" s="23"/>
      <c r="E3" s="24"/>
      <c r="F3" s="25" t="s">
        <v>31</v>
      </c>
    </row>
    <row r="4" spans="1:6" ht="15" thickBot="1" x14ac:dyDescent="0.35">
      <c r="B4" s="21"/>
      <c r="C4" s="8" t="s">
        <v>34</v>
      </c>
      <c r="D4" s="9" t="s">
        <v>32</v>
      </c>
      <c r="E4" s="10" t="s">
        <v>33</v>
      </c>
      <c r="F4" s="26"/>
    </row>
    <row r="5" spans="1:6" ht="15" thickTop="1" x14ac:dyDescent="0.3">
      <c r="B5" s="3" t="s">
        <v>41</v>
      </c>
      <c r="C5" s="11">
        <f>SUM(C6:C9)</f>
        <v>34</v>
      </c>
      <c r="D5" s="12">
        <f>SUM(D6:D9)</f>
        <v>34</v>
      </c>
      <c r="E5" s="12">
        <f>SUM(E6:E9)</f>
        <v>0</v>
      </c>
      <c r="F5" s="12">
        <v>1</v>
      </c>
    </row>
    <row r="6" spans="1:6" x14ac:dyDescent="0.3">
      <c r="B6" s="4" t="s">
        <v>5</v>
      </c>
      <c r="C6" s="13">
        <v>8</v>
      </c>
      <c r="D6" s="13">
        <v>8</v>
      </c>
      <c r="E6" s="13">
        <v>0</v>
      </c>
      <c r="F6" s="13">
        <v>1</v>
      </c>
    </row>
    <row r="7" spans="1:6" x14ac:dyDescent="0.3">
      <c r="B7" s="4" t="s">
        <v>2</v>
      </c>
      <c r="C7" s="13">
        <v>10</v>
      </c>
      <c r="D7" s="13">
        <v>10</v>
      </c>
      <c r="E7" s="13">
        <v>0</v>
      </c>
      <c r="F7" s="13">
        <v>1</v>
      </c>
    </row>
    <row r="8" spans="1:6" x14ac:dyDescent="0.3">
      <c r="B8" s="4" t="s">
        <v>3</v>
      </c>
      <c r="C8" s="13">
        <v>8</v>
      </c>
      <c r="D8" s="13">
        <v>8</v>
      </c>
      <c r="E8" s="13">
        <v>0</v>
      </c>
      <c r="F8" s="13">
        <v>1</v>
      </c>
    </row>
    <row r="9" spans="1:6" x14ac:dyDescent="0.3">
      <c r="B9" s="4" t="s">
        <v>4</v>
      </c>
      <c r="C9" s="13">
        <v>8</v>
      </c>
      <c r="D9" s="13">
        <v>8</v>
      </c>
      <c r="E9" s="13">
        <v>0</v>
      </c>
      <c r="F9" s="13">
        <v>1</v>
      </c>
    </row>
    <row r="10" spans="1:6" x14ac:dyDescent="0.3">
      <c r="B10" s="5" t="s">
        <v>8</v>
      </c>
      <c r="C10" s="11">
        <f>SUM(C11:C15)</f>
        <v>39</v>
      </c>
      <c r="D10" s="12">
        <f>SUM(D11:D15)</f>
        <v>39</v>
      </c>
      <c r="E10" s="12">
        <f>SUM(E11:E15)</f>
        <v>0</v>
      </c>
      <c r="F10" s="12">
        <v>2</v>
      </c>
    </row>
    <row r="11" spans="1:6" x14ac:dyDescent="0.3">
      <c r="B11" s="4" t="s">
        <v>14</v>
      </c>
      <c r="C11" s="13">
        <v>6</v>
      </c>
      <c r="D11" s="13">
        <v>3</v>
      </c>
      <c r="E11" s="13">
        <v>0</v>
      </c>
      <c r="F11" s="13">
        <v>2</v>
      </c>
    </row>
    <row r="12" spans="1:6" x14ac:dyDescent="0.3">
      <c r="B12" s="4" t="s">
        <v>7</v>
      </c>
      <c r="C12" s="13">
        <v>12</v>
      </c>
      <c r="D12" s="13">
        <v>12</v>
      </c>
      <c r="E12" s="13">
        <v>0</v>
      </c>
      <c r="F12" s="13">
        <v>2</v>
      </c>
    </row>
    <row r="13" spans="1:6" x14ac:dyDescent="0.3">
      <c r="B13" s="4" t="s">
        <v>9</v>
      </c>
      <c r="C13" s="13">
        <v>8</v>
      </c>
      <c r="D13" s="13">
        <v>7</v>
      </c>
      <c r="E13" s="13">
        <v>0</v>
      </c>
      <c r="F13" s="13">
        <v>2</v>
      </c>
    </row>
    <row r="14" spans="1:6" x14ac:dyDescent="0.3">
      <c r="B14" s="6" t="s">
        <v>13</v>
      </c>
      <c r="C14" s="13">
        <v>8</v>
      </c>
      <c r="D14" s="13">
        <v>7</v>
      </c>
      <c r="E14" s="13">
        <v>0</v>
      </c>
      <c r="F14" s="13">
        <v>2</v>
      </c>
    </row>
    <row r="15" spans="1:6" x14ac:dyDescent="0.3">
      <c r="B15" s="4" t="s">
        <v>10</v>
      </c>
      <c r="C15" s="13">
        <v>5</v>
      </c>
      <c r="D15" s="13">
        <v>10</v>
      </c>
      <c r="E15" s="13">
        <v>0</v>
      </c>
      <c r="F15" s="13">
        <v>2</v>
      </c>
    </row>
    <row r="16" spans="1:6" x14ac:dyDescent="0.3">
      <c r="B16" s="5" t="s">
        <v>11</v>
      </c>
      <c r="C16" s="11">
        <f>SUM(C17:C20)</f>
        <v>31</v>
      </c>
      <c r="D16" s="12">
        <f>SUM(D17:D20)</f>
        <v>31</v>
      </c>
      <c r="E16" s="12">
        <f>SUM(E17:E20)</f>
        <v>0</v>
      </c>
      <c r="F16" s="12">
        <v>3</v>
      </c>
    </row>
    <row r="17" spans="2:6" x14ac:dyDescent="0.3">
      <c r="B17" s="4" t="s">
        <v>15</v>
      </c>
      <c r="C17" s="13">
        <v>6</v>
      </c>
      <c r="D17" s="13">
        <v>3</v>
      </c>
      <c r="E17" s="13">
        <v>0</v>
      </c>
      <c r="F17" s="13">
        <v>3</v>
      </c>
    </row>
    <row r="18" spans="2:6" x14ac:dyDescent="0.3">
      <c r="B18" s="6" t="s">
        <v>6</v>
      </c>
      <c r="C18" s="13">
        <v>12</v>
      </c>
      <c r="D18" s="13">
        <v>13</v>
      </c>
      <c r="E18" s="13">
        <v>0</v>
      </c>
      <c r="F18" s="13">
        <v>3</v>
      </c>
    </row>
    <row r="19" spans="2:6" x14ac:dyDescent="0.3">
      <c r="B19" s="6" t="s">
        <v>12</v>
      </c>
      <c r="C19" s="13">
        <v>8</v>
      </c>
      <c r="D19" s="13">
        <v>8</v>
      </c>
      <c r="E19" s="13">
        <v>0</v>
      </c>
      <c r="F19" s="13">
        <v>3</v>
      </c>
    </row>
    <row r="20" spans="2:6" x14ac:dyDescent="0.3">
      <c r="B20" s="4" t="s">
        <v>10</v>
      </c>
      <c r="C20" s="13">
        <v>5</v>
      </c>
      <c r="D20" s="13">
        <v>7</v>
      </c>
      <c r="E20" s="13">
        <v>0</v>
      </c>
      <c r="F20" s="13">
        <v>3</v>
      </c>
    </row>
    <row r="21" spans="2:6" x14ac:dyDescent="0.3">
      <c r="B21" s="5" t="s">
        <v>17</v>
      </c>
      <c r="C21" s="11">
        <f>SUM(C22:C25)</f>
        <v>31</v>
      </c>
      <c r="D21" s="12">
        <f>SUM(D22:D25)</f>
        <v>31</v>
      </c>
      <c r="E21" s="12">
        <f>SUM(E22:E25)</f>
        <v>0</v>
      </c>
      <c r="F21" s="12">
        <v>4</v>
      </c>
    </row>
    <row r="22" spans="2:6" x14ac:dyDescent="0.3">
      <c r="B22" s="4" t="s">
        <v>16</v>
      </c>
      <c r="C22" s="13">
        <v>6</v>
      </c>
      <c r="D22" s="13">
        <v>3</v>
      </c>
      <c r="E22" s="13">
        <v>0</v>
      </c>
      <c r="F22" s="13">
        <v>4</v>
      </c>
    </row>
    <row r="23" spans="2:6" x14ac:dyDescent="0.3">
      <c r="B23" s="6" t="s">
        <v>6</v>
      </c>
      <c r="C23" s="13">
        <v>12</v>
      </c>
      <c r="D23" s="13">
        <v>13</v>
      </c>
      <c r="E23" s="13">
        <v>0</v>
      </c>
      <c r="F23" s="13">
        <v>4</v>
      </c>
    </row>
    <row r="24" spans="2:6" x14ac:dyDescent="0.3">
      <c r="B24" s="6" t="s">
        <v>12</v>
      </c>
      <c r="C24" s="13">
        <v>8</v>
      </c>
      <c r="D24" s="13">
        <v>7</v>
      </c>
      <c r="E24" s="13">
        <v>0</v>
      </c>
      <c r="F24" s="13">
        <v>4</v>
      </c>
    </row>
    <row r="25" spans="2:6" x14ac:dyDescent="0.3">
      <c r="B25" s="4" t="s">
        <v>10</v>
      </c>
      <c r="C25" s="13">
        <v>5</v>
      </c>
      <c r="D25" s="13">
        <v>8</v>
      </c>
      <c r="E25" s="13">
        <v>0</v>
      </c>
      <c r="F25" s="13">
        <v>4</v>
      </c>
    </row>
    <row r="26" spans="2:6" x14ac:dyDescent="0.3">
      <c r="B26" s="5" t="s">
        <v>22</v>
      </c>
      <c r="C26" s="11">
        <f>SUM(C27:C32)</f>
        <v>45</v>
      </c>
      <c r="D26" s="12">
        <f>SUM(D27:D32)</f>
        <v>45</v>
      </c>
      <c r="E26" s="12">
        <f>SUM(E27:E32)</f>
        <v>0</v>
      </c>
      <c r="F26" s="12">
        <v>5</v>
      </c>
    </row>
    <row r="27" spans="2:6" x14ac:dyDescent="0.3">
      <c r="B27" s="4" t="s">
        <v>18</v>
      </c>
      <c r="C27" s="13">
        <v>6</v>
      </c>
      <c r="D27" s="13">
        <v>3</v>
      </c>
      <c r="E27" s="13">
        <v>0</v>
      </c>
      <c r="F27" s="13">
        <v>5</v>
      </c>
    </row>
    <row r="28" spans="2:6" x14ac:dyDescent="0.3">
      <c r="B28" s="6" t="s">
        <v>21</v>
      </c>
      <c r="C28" s="13">
        <v>12</v>
      </c>
      <c r="D28" s="13">
        <v>12</v>
      </c>
      <c r="E28" s="13">
        <v>0</v>
      </c>
      <c r="F28" s="13">
        <v>5</v>
      </c>
    </row>
    <row r="29" spans="2:6" x14ac:dyDescent="0.3">
      <c r="B29" s="6" t="s">
        <v>36</v>
      </c>
      <c r="C29" s="13">
        <v>6</v>
      </c>
      <c r="D29" s="13">
        <v>8</v>
      </c>
      <c r="E29" s="13">
        <v>0</v>
      </c>
      <c r="F29" s="13">
        <v>5</v>
      </c>
    </row>
    <row r="30" spans="2:6" x14ac:dyDescent="0.3">
      <c r="B30" s="6" t="s">
        <v>19</v>
      </c>
      <c r="C30" s="13">
        <v>8</v>
      </c>
      <c r="D30" s="13">
        <v>8</v>
      </c>
      <c r="E30" s="13">
        <v>0</v>
      </c>
      <c r="F30" s="13">
        <v>5</v>
      </c>
    </row>
    <row r="31" spans="2:6" x14ac:dyDescent="0.3">
      <c r="B31" s="6" t="s">
        <v>20</v>
      </c>
      <c r="C31" s="13">
        <v>8</v>
      </c>
      <c r="D31" s="13">
        <v>8</v>
      </c>
      <c r="E31" s="13">
        <v>0</v>
      </c>
      <c r="F31" s="13">
        <v>5</v>
      </c>
    </row>
    <row r="32" spans="2:6" x14ac:dyDescent="0.3">
      <c r="B32" s="4" t="s">
        <v>10</v>
      </c>
      <c r="C32" s="13">
        <v>5</v>
      </c>
      <c r="D32" s="13">
        <v>6</v>
      </c>
      <c r="E32" s="13">
        <v>0</v>
      </c>
      <c r="F32" s="13">
        <v>5</v>
      </c>
    </row>
    <row r="33" spans="2:6" x14ac:dyDescent="0.3">
      <c r="B33" s="5" t="s">
        <v>25</v>
      </c>
      <c r="C33" s="11">
        <f>SUM(C34:C37)</f>
        <v>31</v>
      </c>
      <c r="D33" s="12">
        <f>SUM(D34:D37)</f>
        <v>31</v>
      </c>
      <c r="E33" s="12">
        <f>SUM(E34:E37)</f>
        <v>0</v>
      </c>
      <c r="F33" s="12">
        <v>6</v>
      </c>
    </row>
    <row r="34" spans="2:6" x14ac:dyDescent="0.3">
      <c r="B34" s="7" t="s">
        <v>23</v>
      </c>
      <c r="C34" s="13">
        <v>6</v>
      </c>
      <c r="D34" s="13">
        <v>3</v>
      </c>
      <c r="E34" s="13">
        <v>0</v>
      </c>
      <c r="F34" s="13">
        <v>6</v>
      </c>
    </row>
    <row r="35" spans="2:6" x14ac:dyDescent="0.3">
      <c r="B35" s="6" t="s">
        <v>40</v>
      </c>
      <c r="C35" s="13">
        <v>12</v>
      </c>
      <c r="D35" s="13">
        <v>10</v>
      </c>
      <c r="E35" s="13">
        <v>0</v>
      </c>
      <c r="F35" s="13">
        <v>6</v>
      </c>
    </row>
    <row r="36" spans="2:6" x14ac:dyDescent="0.3">
      <c r="B36" s="6" t="s">
        <v>24</v>
      </c>
      <c r="C36" s="13">
        <v>8</v>
      </c>
      <c r="D36" s="13">
        <v>10</v>
      </c>
      <c r="E36" s="13">
        <v>0</v>
      </c>
      <c r="F36" s="13">
        <v>6</v>
      </c>
    </row>
    <row r="37" spans="2:6" x14ac:dyDescent="0.3">
      <c r="B37" s="4" t="s">
        <v>10</v>
      </c>
      <c r="C37" s="13">
        <v>5</v>
      </c>
      <c r="D37" s="13">
        <v>8</v>
      </c>
      <c r="E37" s="13">
        <v>0</v>
      </c>
      <c r="F37" s="13">
        <v>6</v>
      </c>
    </row>
    <row r="38" spans="2:6" x14ac:dyDescent="0.3">
      <c r="B38" s="5" t="s">
        <v>26</v>
      </c>
      <c r="C38" s="11">
        <f>SUM(C39:C43)</f>
        <v>39</v>
      </c>
      <c r="D38" s="12">
        <f>SUM(D39:D43)</f>
        <v>39</v>
      </c>
      <c r="E38" s="12">
        <f>SUM(E39:E43)</f>
        <v>0</v>
      </c>
      <c r="F38" s="12">
        <v>7</v>
      </c>
    </row>
    <row r="39" spans="2:6" x14ac:dyDescent="0.3">
      <c r="B39" s="7" t="s">
        <v>27</v>
      </c>
      <c r="C39" s="13">
        <v>6</v>
      </c>
      <c r="D39" s="13">
        <v>3</v>
      </c>
      <c r="E39" s="13">
        <v>0</v>
      </c>
      <c r="F39" s="13">
        <v>7</v>
      </c>
    </row>
    <row r="40" spans="2:6" x14ac:dyDescent="0.3">
      <c r="B40" s="6" t="s">
        <v>39</v>
      </c>
      <c r="C40" s="13">
        <v>12</v>
      </c>
      <c r="D40" s="13">
        <v>14</v>
      </c>
      <c r="E40" s="13">
        <v>0</v>
      </c>
      <c r="F40" s="13">
        <v>7</v>
      </c>
    </row>
    <row r="41" spans="2:6" x14ac:dyDescent="0.3">
      <c r="B41" s="6" t="s">
        <v>28</v>
      </c>
      <c r="C41" s="13">
        <v>8</v>
      </c>
      <c r="D41" s="13">
        <v>7</v>
      </c>
      <c r="E41" s="13">
        <v>0</v>
      </c>
      <c r="F41" s="13">
        <v>7</v>
      </c>
    </row>
    <row r="42" spans="2:6" x14ac:dyDescent="0.3">
      <c r="B42" s="6" t="s">
        <v>29</v>
      </c>
      <c r="C42" s="13">
        <v>8</v>
      </c>
      <c r="D42" s="13">
        <v>7</v>
      </c>
      <c r="E42" s="13">
        <v>0</v>
      </c>
      <c r="F42" s="13">
        <v>7</v>
      </c>
    </row>
    <row r="43" spans="2:6" x14ac:dyDescent="0.3">
      <c r="B43" s="4" t="s">
        <v>10</v>
      </c>
      <c r="C43" s="13">
        <v>5</v>
      </c>
      <c r="D43" s="13">
        <v>8</v>
      </c>
      <c r="E43" s="13">
        <v>0</v>
      </c>
      <c r="F43" s="13">
        <v>7</v>
      </c>
    </row>
    <row r="44" spans="2:6" x14ac:dyDescent="0.3">
      <c r="B44" s="5" t="s">
        <v>38</v>
      </c>
      <c r="C44" s="11">
        <f>SUM(C45:C48)</f>
        <v>31</v>
      </c>
      <c r="D44" s="12">
        <f>SUM(D45:D48)</f>
        <v>31</v>
      </c>
      <c r="E44" s="12">
        <f>SUM(E45:E48)</f>
        <v>0</v>
      </c>
      <c r="F44" s="12">
        <v>8</v>
      </c>
    </row>
    <row r="45" spans="2:6" x14ac:dyDescent="0.3">
      <c r="B45" s="7" t="s">
        <v>35</v>
      </c>
      <c r="C45" s="13">
        <v>6</v>
      </c>
      <c r="D45" s="13">
        <v>3</v>
      </c>
      <c r="E45" s="13">
        <v>0</v>
      </c>
      <c r="F45" s="13">
        <v>8</v>
      </c>
    </row>
    <row r="46" spans="2:6" x14ac:dyDescent="0.3">
      <c r="B46" s="6" t="s">
        <v>42</v>
      </c>
      <c r="C46" s="13">
        <v>12</v>
      </c>
      <c r="D46" s="13">
        <v>14</v>
      </c>
      <c r="E46" s="13">
        <v>0</v>
      </c>
      <c r="F46" s="13">
        <v>8</v>
      </c>
    </row>
    <row r="47" spans="2:6" x14ac:dyDescent="0.3">
      <c r="B47" s="6" t="s">
        <v>37</v>
      </c>
      <c r="C47" s="13">
        <v>8</v>
      </c>
      <c r="D47" s="13">
        <v>9</v>
      </c>
      <c r="E47" s="13">
        <v>0</v>
      </c>
      <c r="F47" s="13">
        <v>8</v>
      </c>
    </row>
    <row r="48" spans="2:6" x14ac:dyDescent="0.3">
      <c r="B48" s="4" t="s">
        <v>10</v>
      </c>
      <c r="C48" s="13">
        <v>5</v>
      </c>
      <c r="D48" s="13">
        <v>5</v>
      </c>
      <c r="E48" s="13">
        <v>0</v>
      </c>
      <c r="F48" s="13">
        <v>8</v>
      </c>
    </row>
    <row r="49" spans="2:65" x14ac:dyDescent="0.3">
      <c r="B49" s="17"/>
      <c r="C49" s="13" t="s">
        <v>34</v>
      </c>
      <c r="D49" s="13" t="s">
        <v>32</v>
      </c>
      <c r="E49" s="13" t="s">
        <v>33</v>
      </c>
      <c r="F49" s="13" t="s">
        <v>45</v>
      </c>
      <c r="G49" s="13" t="s">
        <v>46</v>
      </c>
    </row>
    <row r="50" spans="2:65" x14ac:dyDescent="0.3">
      <c r="B50" s="14" t="s">
        <v>44</v>
      </c>
      <c r="C50">
        <f>SUM(C5,C10,C16,C21,C26,C33,C38,C44)</f>
        <v>281</v>
      </c>
      <c r="D50">
        <f>SUM(D16,D5,D10,D21,D26,D33,D38,D44)</f>
        <v>281</v>
      </c>
      <c r="E50">
        <f>SUM(E5,E10,E16,E21,E26,E33,E38,E44)</f>
        <v>0</v>
      </c>
      <c r="F50" s="13">
        <v>56</v>
      </c>
      <c r="G50">
        <f xml:space="preserve"> C50/F50</f>
        <v>5.0178571428571432</v>
      </c>
    </row>
    <row r="55" spans="2:65" x14ac:dyDescent="0.3">
      <c r="I55" s="18" t="s">
        <v>50</v>
      </c>
      <c r="J55" s="18"/>
      <c r="K55" s="18"/>
      <c r="L55" s="18"/>
      <c r="M55" s="18"/>
      <c r="N55" s="18"/>
      <c r="O55" s="18"/>
      <c r="P55" s="19" t="s">
        <v>51</v>
      </c>
      <c r="Q55" s="19"/>
      <c r="R55" s="19"/>
      <c r="S55" s="19"/>
      <c r="T55" s="19"/>
      <c r="U55" s="19"/>
      <c r="V55" s="19"/>
      <c r="W55" s="18" t="s">
        <v>52</v>
      </c>
      <c r="X55" s="18"/>
      <c r="Y55" s="18"/>
      <c r="Z55" s="18"/>
      <c r="AA55" s="18"/>
      <c r="AB55" s="18"/>
      <c r="AC55" s="18"/>
      <c r="AD55" s="19" t="s">
        <v>53</v>
      </c>
      <c r="AE55" s="19"/>
      <c r="AF55" s="19"/>
      <c r="AG55" s="19"/>
      <c r="AH55" s="19"/>
      <c r="AI55" s="19"/>
      <c r="AJ55" s="19"/>
      <c r="AK55" s="18" t="s">
        <v>54</v>
      </c>
      <c r="AL55" s="18"/>
      <c r="AM55" s="18"/>
      <c r="AN55" s="18"/>
      <c r="AO55" s="18"/>
      <c r="AP55" s="18"/>
      <c r="AQ55" s="18"/>
      <c r="AR55" s="19" t="s">
        <v>55</v>
      </c>
      <c r="AS55" s="19"/>
      <c r="AT55" s="19"/>
      <c r="AU55" s="19"/>
      <c r="AV55" s="19"/>
      <c r="AW55" s="19"/>
      <c r="AX55" s="19"/>
      <c r="AY55" s="18" t="s">
        <v>56</v>
      </c>
      <c r="AZ55" s="18"/>
      <c r="BA55" s="18"/>
      <c r="BB55" s="18"/>
      <c r="BC55" s="18"/>
      <c r="BD55" s="18"/>
      <c r="BE55" s="18"/>
      <c r="BF55" s="19" t="s">
        <v>57</v>
      </c>
      <c r="BG55" s="19"/>
      <c r="BH55" s="19"/>
      <c r="BI55" s="19"/>
      <c r="BJ55" s="19"/>
      <c r="BK55" s="19"/>
      <c r="BL55" s="19"/>
      <c r="BM55" s="19"/>
    </row>
    <row r="56" spans="2:65" x14ac:dyDescent="0.3">
      <c r="H56" s="15" t="s">
        <v>43</v>
      </c>
      <c r="I56" s="16">
        <v>0</v>
      </c>
      <c r="J56" s="16">
        <v>1</v>
      </c>
      <c r="K56" s="16">
        <v>2</v>
      </c>
      <c r="L56" s="16">
        <v>3</v>
      </c>
      <c r="M56" s="16">
        <v>4</v>
      </c>
      <c r="N56" s="16">
        <v>5</v>
      </c>
      <c r="O56" s="16">
        <v>6</v>
      </c>
      <c r="P56" s="16">
        <v>7</v>
      </c>
      <c r="Q56" s="16">
        <v>8</v>
      </c>
      <c r="R56" s="16">
        <v>9</v>
      </c>
      <c r="S56" s="16">
        <v>10</v>
      </c>
      <c r="T56" s="16">
        <v>11</v>
      </c>
      <c r="U56" s="16">
        <v>12</v>
      </c>
      <c r="V56" s="16">
        <v>13</v>
      </c>
      <c r="W56" s="16">
        <v>14</v>
      </c>
      <c r="X56" s="16">
        <v>15</v>
      </c>
      <c r="Y56" s="16">
        <v>16</v>
      </c>
      <c r="Z56" s="16">
        <v>17</v>
      </c>
      <c r="AA56" s="16">
        <v>18</v>
      </c>
      <c r="AB56" s="16">
        <v>19</v>
      </c>
      <c r="AC56" s="16">
        <v>20</v>
      </c>
      <c r="AD56" s="16">
        <v>21</v>
      </c>
      <c r="AE56" s="16">
        <v>22</v>
      </c>
      <c r="AF56" s="16">
        <v>23</v>
      </c>
      <c r="AG56" s="16">
        <v>24</v>
      </c>
      <c r="AH56" s="16">
        <v>25</v>
      </c>
      <c r="AI56" s="16">
        <v>26</v>
      </c>
      <c r="AJ56" s="16">
        <v>27</v>
      </c>
      <c r="AK56" s="16">
        <v>28</v>
      </c>
      <c r="AL56" s="16">
        <v>29</v>
      </c>
      <c r="AM56" s="16">
        <v>30</v>
      </c>
      <c r="AN56" s="16">
        <v>31</v>
      </c>
      <c r="AO56" s="16">
        <v>32</v>
      </c>
      <c r="AP56" s="16">
        <v>33</v>
      </c>
      <c r="AQ56" s="16">
        <v>34</v>
      </c>
      <c r="AR56" s="16">
        <v>35</v>
      </c>
      <c r="AS56" s="16">
        <v>36</v>
      </c>
      <c r="AT56" s="16">
        <v>37</v>
      </c>
      <c r="AU56" s="16">
        <v>38</v>
      </c>
      <c r="AV56" s="16">
        <v>39</v>
      </c>
      <c r="AW56" s="16">
        <v>40</v>
      </c>
      <c r="AX56" s="16">
        <v>41</v>
      </c>
      <c r="AY56" s="16">
        <v>42</v>
      </c>
      <c r="AZ56" s="16">
        <v>43</v>
      </c>
      <c r="BA56" s="16">
        <v>44</v>
      </c>
      <c r="BB56" s="16">
        <v>45</v>
      </c>
      <c r="BC56" s="16">
        <v>46</v>
      </c>
      <c r="BD56" s="16">
        <v>47</v>
      </c>
      <c r="BE56" s="16">
        <v>48</v>
      </c>
      <c r="BF56" s="16">
        <v>49</v>
      </c>
      <c r="BG56" s="16">
        <v>50</v>
      </c>
      <c r="BH56" s="16">
        <v>51</v>
      </c>
      <c r="BI56" s="16">
        <v>52</v>
      </c>
      <c r="BJ56" s="16">
        <v>53</v>
      </c>
      <c r="BK56" s="16">
        <v>54</v>
      </c>
      <c r="BL56" s="16">
        <v>55</v>
      </c>
      <c r="BM56" s="16">
        <v>56</v>
      </c>
    </row>
    <row r="57" spans="2:65" x14ac:dyDescent="0.3">
      <c r="H57" s="15" t="s">
        <v>47</v>
      </c>
      <c r="I57">
        <f>C50</f>
        <v>281</v>
      </c>
      <c r="J57">
        <f>C50-G50</f>
        <v>275.98214285714283</v>
      </c>
      <c r="K57">
        <f>J57-G50</f>
        <v>270.96428571428567</v>
      </c>
      <c r="L57">
        <f>K57-G50</f>
        <v>265.9464285714285</v>
      </c>
      <c r="M57">
        <f>L57-G50</f>
        <v>260.92857142857133</v>
      </c>
      <c r="N57">
        <f>M57-G50</f>
        <v>255.91071428571419</v>
      </c>
      <c r="O57">
        <f>N57-G50</f>
        <v>250.89285714285705</v>
      </c>
      <c r="P57">
        <f>O57-G50</f>
        <v>245.87499999999991</v>
      </c>
      <c r="Q57">
        <f>P57-G50</f>
        <v>240.85714285714278</v>
      </c>
      <c r="R57">
        <f>Q57-G50</f>
        <v>235.83928571428564</v>
      </c>
      <c r="S57">
        <f>R57-G50</f>
        <v>230.8214285714285</v>
      </c>
      <c r="T57">
        <f>S57-G50</f>
        <v>225.80357142857136</v>
      </c>
      <c r="U57">
        <f>T57-G50</f>
        <v>220.78571428571422</v>
      </c>
      <c r="V57">
        <f>U57-G50</f>
        <v>215.76785714285708</v>
      </c>
      <c r="W57">
        <f>V57-G50</f>
        <v>210.74999999999994</v>
      </c>
      <c r="X57">
        <f>W57-G50</f>
        <v>205.7321428571428</v>
      </c>
      <c r="Y57">
        <f>X57-G50</f>
        <v>200.71428571428567</v>
      </c>
      <c r="Z57">
        <f>Y57-G50</f>
        <v>195.69642857142853</v>
      </c>
      <c r="AA57">
        <f>Z57-G50</f>
        <v>190.67857142857139</v>
      </c>
      <c r="AB57">
        <f>AA57-G50</f>
        <v>185.66071428571425</v>
      </c>
      <c r="AC57">
        <f>AB57-G50</f>
        <v>180.64285714285711</v>
      </c>
      <c r="AD57">
        <f>AC57-G50</f>
        <v>175.62499999999997</v>
      </c>
      <c r="AE57">
        <f>AD57-G50</f>
        <v>170.60714285714283</v>
      </c>
      <c r="AF57">
        <f>AE57-G50</f>
        <v>165.58928571428569</v>
      </c>
      <c r="AG57">
        <f>AF57-G50</f>
        <v>160.57142857142856</v>
      </c>
      <c r="AH57">
        <f>AG57-G50</f>
        <v>155.55357142857142</v>
      </c>
      <c r="AI57">
        <f>AH57-G50</f>
        <v>150.53571428571428</v>
      </c>
      <c r="AJ57">
        <f>AI57-G50</f>
        <v>145.51785714285714</v>
      </c>
      <c r="AK57">
        <f>AJ57-G50</f>
        <v>140.5</v>
      </c>
      <c r="AL57">
        <f>AK57-G50</f>
        <v>135.48214285714286</v>
      </c>
      <c r="AM57">
        <f>AL57-G50</f>
        <v>130.46428571428572</v>
      </c>
      <c r="AN57">
        <f>AM57-G50</f>
        <v>125.44642857142858</v>
      </c>
      <c r="AO57">
        <f>AN57-G50</f>
        <v>120.42857142857144</v>
      </c>
      <c r="AP57">
        <f>AO57-G50</f>
        <v>115.41071428571431</v>
      </c>
      <c r="AQ57">
        <f>AP57-G50</f>
        <v>110.39285714285717</v>
      </c>
      <c r="AR57">
        <f>AQ57-G50</f>
        <v>105.37500000000003</v>
      </c>
      <c r="AS57">
        <f>AR57-G50</f>
        <v>100.35714285714289</v>
      </c>
      <c r="AT57">
        <f>AS57-G50</f>
        <v>95.339285714285751</v>
      </c>
      <c r="AU57">
        <f>AT57-G50</f>
        <v>90.321428571428612</v>
      </c>
      <c r="AV57">
        <f>AU57-G50</f>
        <v>85.303571428571473</v>
      </c>
      <c r="AW57">
        <f>AV57-G50</f>
        <v>80.285714285714334</v>
      </c>
      <c r="AX57">
        <f>AW57-G50</f>
        <v>75.267857142857196</v>
      </c>
      <c r="AY57">
        <f>AX57-G50</f>
        <v>70.250000000000057</v>
      </c>
      <c r="AZ57">
        <f>AY57-G50</f>
        <v>65.232142857142918</v>
      </c>
      <c r="BA57">
        <f>AZ57-G50</f>
        <v>60.214285714285772</v>
      </c>
      <c r="BB57">
        <f>BA57-G50</f>
        <v>55.196428571428626</v>
      </c>
      <c r="BC57">
        <f>BB57-G50</f>
        <v>50.17857142857148</v>
      </c>
      <c r="BD57">
        <f>BC57-G50</f>
        <v>45.160714285714334</v>
      </c>
      <c r="BE57">
        <f>BD57-G50</f>
        <v>40.142857142857189</v>
      </c>
      <c r="BF57">
        <f>BE57-G50</f>
        <v>35.125000000000043</v>
      </c>
      <c r="BG57">
        <f>BF57-G50</f>
        <v>30.1071428571429</v>
      </c>
      <c r="BH57">
        <f>BG57-G50</f>
        <v>25.089285714285758</v>
      </c>
      <c r="BI57">
        <f>BH57-G50</f>
        <v>20.071428571428616</v>
      </c>
      <c r="BJ57">
        <f>BI57-G50</f>
        <v>15.053571428571473</v>
      </c>
      <c r="BK57">
        <f>BJ57-G50</f>
        <v>10.035714285714331</v>
      </c>
      <c r="BL57">
        <f>BK57-G50</f>
        <v>5.0178571428571876</v>
      </c>
      <c r="BM57">
        <v>0</v>
      </c>
    </row>
    <row r="58" spans="2:65" x14ac:dyDescent="0.3">
      <c r="H58" s="15" t="s">
        <v>48</v>
      </c>
      <c r="I58">
        <v>5</v>
      </c>
      <c r="J58">
        <v>5</v>
      </c>
      <c r="K58">
        <v>4</v>
      </c>
      <c r="L58">
        <v>4</v>
      </c>
      <c r="M58">
        <v>5</v>
      </c>
      <c r="N58">
        <v>5</v>
      </c>
      <c r="O58">
        <v>6</v>
      </c>
      <c r="P58">
        <v>8</v>
      </c>
      <c r="Q58">
        <v>8</v>
      </c>
      <c r="R58">
        <v>13</v>
      </c>
      <c r="S58">
        <v>4</v>
      </c>
      <c r="T58">
        <v>3</v>
      </c>
      <c r="U58">
        <v>3</v>
      </c>
      <c r="V58">
        <v>0</v>
      </c>
      <c r="W58">
        <v>8</v>
      </c>
      <c r="X58">
        <v>8</v>
      </c>
      <c r="Y58">
        <v>4</v>
      </c>
      <c r="Z58">
        <v>4</v>
      </c>
      <c r="AA58">
        <v>4</v>
      </c>
      <c r="AB58">
        <v>3</v>
      </c>
      <c r="AC58">
        <v>0</v>
      </c>
      <c r="AD58">
        <v>8</v>
      </c>
      <c r="AE58">
        <v>8</v>
      </c>
      <c r="AF58">
        <v>4</v>
      </c>
      <c r="AG58">
        <v>4</v>
      </c>
      <c r="AH58">
        <v>4</v>
      </c>
      <c r="AI58">
        <v>3</v>
      </c>
      <c r="AJ58">
        <v>0</v>
      </c>
      <c r="AK58">
        <v>8</v>
      </c>
      <c r="AL58">
        <v>8</v>
      </c>
      <c r="AM58">
        <v>8</v>
      </c>
      <c r="AN58">
        <v>6</v>
      </c>
      <c r="AO58">
        <v>5</v>
      </c>
      <c r="AP58">
        <v>5</v>
      </c>
      <c r="AQ58">
        <v>5</v>
      </c>
      <c r="AR58">
        <v>7</v>
      </c>
      <c r="AS58">
        <v>6</v>
      </c>
      <c r="AT58">
        <v>5</v>
      </c>
      <c r="AU58">
        <v>5</v>
      </c>
      <c r="AV58">
        <v>4</v>
      </c>
      <c r="AW58">
        <v>4</v>
      </c>
      <c r="AX58">
        <v>0</v>
      </c>
      <c r="AY58">
        <v>6</v>
      </c>
      <c r="AZ58">
        <v>6</v>
      </c>
      <c r="BA58">
        <v>5</v>
      </c>
      <c r="BB58">
        <v>7</v>
      </c>
      <c r="BC58">
        <v>7</v>
      </c>
      <c r="BD58">
        <v>4</v>
      </c>
      <c r="BE58">
        <v>4</v>
      </c>
      <c r="BF58">
        <v>7</v>
      </c>
      <c r="BG58">
        <v>6</v>
      </c>
      <c r="BH58">
        <v>5</v>
      </c>
      <c r="BI58">
        <v>5</v>
      </c>
      <c r="BJ58">
        <v>4</v>
      </c>
      <c r="BK58">
        <v>4</v>
      </c>
      <c r="BL58">
        <v>0</v>
      </c>
      <c r="BM58">
        <v>0</v>
      </c>
    </row>
    <row r="59" spans="2:65" x14ac:dyDescent="0.3">
      <c r="H59" s="15" t="s">
        <v>49</v>
      </c>
      <c r="I59">
        <f>C50-I58</f>
        <v>276</v>
      </c>
      <c r="J59">
        <f>I59-J58</f>
        <v>271</v>
      </c>
      <c r="K59">
        <f t="shared" ref="K59:BM59" si="0">J59-K58</f>
        <v>267</v>
      </c>
      <c r="L59">
        <f t="shared" si="0"/>
        <v>263</v>
      </c>
      <c r="M59">
        <f t="shared" si="0"/>
        <v>258</v>
      </c>
      <c r="N59">
        <f t="shared" si="0"/>
        <v>253</v>
      </c>
      <c r="O59">
        <f t="shared" si="0"/>
        <v>247</v>
      </c>
      <c r="P59">
        <f t="shared" si="0"/>
        <v>239</v>
      </c>
      <c r="Q59">
        <f t="shared" si="0"/>
        <v>231</v>
      </c>
      <c r="R59">
        <f t="shared" si="0"/>
        <v>218</v>
      </c>
      <c r="S59">
        <f>R59-S58</f>
        <v>214</v>
      </c>
      <c r="T59">
        <f t="shared" si="0"/>
        <v>211</v>
      </c>
      <c r="U59">
        <f t="shared" si="0"/>
        <v>208</v>
      </c>
      <c r="V59">
        <f t="shared" si="0"/>
        <v>208</v>
      </c>
      <c r="W59">
        <f t="shared" si="0"/>
        <v>200</v>
      </c>
      <c r="X59">
        <f t="shared" si="0"/>
        <v>192</v>
      </c>
      <c r="Y59">
        <f t="shared" si="0"/>
        <v>188</v>
      </c>
      <c r="Z59">
        <f t="shared" si="0"/>
        <v>184</v>
      </c>
      <c r="AA59">
        <f t="shared" si="0"/>
        <v>180</v>
      </c>
      <c r="AB59">
        <f t="shared" si="0"/>
        <v>177</v>
      </c>
      <c r="AC59">
        <f t="shared" si="0"/>
        <v>177</v>
      </c>
      <c r="AD59">
        <f t="shared" si="0"/>
        <v>169</v>
      </c>
      <c r="AE59">
        <f t="shared" si="0"/>
        <v>161</v>
      </c>
      <c r="AF59">
        <f t="shared" si="0"/>
        <v>157</v>
      </c>
      <c r="AG59">
        <f t="shared" si="0"/>
        <v>153</v>
      </c>
      <c r="AH59">
        <f t="shared" si="0"/>
        <v>149</v>
      </c>
      <c r="AI59">
        <f t="shared" si="0"/>
        <v>146</v>
      </c>
      <c r="AJ59">
        <f t="shared" si="0"/>
        <v>146</v>
      </c>
      <c r="AK59">
        <f t="shared" si="0"/>
        <v>138</v>
      </c>
      <c r="AL59">
        <f t="shared" si="0"/>
        <v>130</v>
      </c>
      <c r="AM59">
        <f t="shared" si="0"/>
        <v>122</v>
      </c>
      <c r="AN59">
        <f t="shared" si="0"/>
        <v>116</v>
      </c>
      <c r="AO59">
        <f t="shared" si="0"/>
        <v>111</v>
      </c>
      <c r="AP59">
        <f t="shared" si="0"/>
        <v>106</v>
      </c>
      <c r="AQ59">
        <f t="shared" si="0"/>
        <v>101</v>
      </c>
      <c r="AR59">
        <f t="shared" si="0"/>
        <v>94</v>
      </c>
      <c r="AS59">
        <f t="shared" si="0"/>
        <v>88</v>
      </c>
      <c r="AT59">
        <f t="shared" si="0"/>
        <v>83</v>
      </c>
      <c r="AU59">
        <f t="shared" si="0"/>
        <v>78</v>
      </c>
      <c r="AV59">
        <f t="shared" si="0"/>
        <v>74</v>
      </c>
      <c r="AW59">
        <f t="shared" si="0"/>
        <v>70</v>
      </c>
      <c r="AX59">
        <f t="shared" si="0"/>
        <v>70</v>
      </c>
      <c r="AY59">
        <f t="shared" si="0"/>
        <v>64</v>
      </c>
      <c r="AZ59">
        <f t="shared" si="0"/>
        <v>58</v>
      </c>
      <c r="BA59">
        <f t="shared" si="0"/>
        <v>53</v>
      </c>
      <c r="BB59">
        <f t="shared" si="0"/>
        <v>46</v>
      </c>
      <c r="BC59">
        <f t="shared" si="0"/>
        <v>39</v>
      </c>
      <c r="BD59">
        <f t="shared" si="0"/>
        <v>35</v>
      </c>
      <c r="BE59">
        <f t="shared" si="0"/>
        <v>31</v>
      </c>
      <c r="BF59">
        <f t="shared" si="0"/>
        <v>24</v>
      </c>
      <c r="BG59">
        <f t="shared" si="0"/>
        <v>18</v>
      </c>
      <c r="BH59">
        <f t="shared" si="0"/>
        <v>13</v>
      </c>
      <c r="BI59">
        <f t="shared" si="0"/>
        <v>8</v>
      </c>
      <c r="BJ59">
        <f t="shared" si="0"/>
        <v>4</v>
      </c>
      <c r="BK59">
        <f t="shared" si="0"/>
        <v>0</v>
      </c>
      <c r="BL59">
        <f t="shared" si="0"/>
        <v>0</v>
      </c>
      <c r="BM59">
        <f t="shared" si="0"/>
        <v>0</v>
      </c>
    </row>
    <row r="61" spans="2:65" x14ac:dyDescent="0.3">
      <c r="O61">
        <f>SUM(I58:O58)</f>
        <v>34</v>
      </c>
      <c r="V61">
        <f>SUM(P58:V58)</f>
        <v>39</v>
      </c>
      <c r="AC61">
        <f>SUM(W58:AC58)</f>
        <v>31</v>
      </c>
      <c r="AJ61">
        <f>SUM(AD58:AJ58)</f>
        <v>31</v>
      </c>
      <c r="AQ61">
        <f>SUM(AK58:AQ58)</f>
        <v>45</v>
      </c>
      <c r="AX61">
        <f>SUM(AR58:AX58)</f>
        <v>31</v>
      </c>
      <c r="BE61">
        <f>SUM(AY58:BE58)</f>
        <v>39</v>
      </c>
      <c r="BM61">
        <f>SUM(BF58:BM58)</f>
        <v>31</v>
      </c>
    </row>
  </sheetData>
  <mergeCells count="3">
    <mergeCell ref="B3:B4"/>
    <mergeCell ref="C3:E3"/>
    <mergeCell ref="F3:F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Condrò</dc:creator>
  <cp:lastModifiedBy>Stella Condrò</cp:lastModifiedBy>
  <dcterms:created xsi:type="dcterms:W3CDTF">2025-10-23T10:39:00Z</dcterms:created>
  <dcterms:modified xsi:type="dcterms:W3CDTF">2025-10-29T09:44:41Z</dcterms:modified>
</cp:coreProperties>
</file>